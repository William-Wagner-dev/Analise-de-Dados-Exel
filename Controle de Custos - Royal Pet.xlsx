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0ECF2C86-C60F-4743-9833-AC1E1363078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CUSTOS GERAIS " sheetId="2" r:id="rId1"/>
    <sheet name="ATIVOS E PASSIVOS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8" i="2" l="1"/>
  <c r="G68" i="2"/>
  <c r="L54" i="3" l="1"/>
  <c r="K54" i="3"/>
  <c r="G54" i="3"/>
  <c r="F54" i="3"/>
  <c r="E54" i="3"/>
  <c r="D54" i="3"/>
  <c r="C54" i="3"/>
  <c r="B54" i="3"/>
  <c r="B21" i="3"/>
  <c r="F21" i="3"/>
  <c r="E21" i="3"/>
  <c r="D21" i="3"/>
  <c r="C21" i="3"/>
  <c r="E68" i="2"/>
  <c r="C68" i="2"/>
</calcChain>
</file>

<file path=xl/sharedStrings.xml><?xml version="1.0" encoding="utf-8"?>
<sst xmlns="http://schemas.openxmlformats.org/spreadsheetml/2006/main" count="132" uniqueCount="107">
  <si>
    <t>ADMINISTRATIVO</t>
  </si>
  <si>
    <t>R$</t>
  </si>
  <si>
    <t>%</t>
  </si>
  <si>
    <t>ALUGUEL</t>
  </si>
  <si>
    <t>ADVOGADOS</t>
  </si>
  <si>
    <t>ACI-RP</t>
  </si>
  <si>
    <t>CONTABILIDADE</t>
  </si>
  <si>
    <t xml:space="preserve">CONTROLE DE PRAGAS </t>
  </si>
  <si>
    <t>MANUTENÇAÕ DE MAQUINAS</t>
  </si>
  <si>
    <t>MATERIAL DE ESCRITÓRIO</t>
  </si>
  <si>
    <t>MATERIAL DE LIMPEZA</t>
  </si>
  <si>
    <t>PLANO DE SAÚDE</t>
  </si>
  <si>
    <t>PLANO ODONTOLÓGICO</t>
  </si>
  <si>
    <t>SERASA</t>
  </si>
  <si>
    <t>TELEFONES CELULARES</t>
  </si>
  <si>
    <t>VEICULOS COMBUSTIVEL</t>
  </si>
  <si>
    <t>SEGURO DE VIDA</t>
  </si>
  <si>
    <t>SEGURO PRÉDIO</t>
  </si>
  <si>
    <t>VALE REFEIÇÃO</t>
  </si>
  <si>
    <t>VALE TRANSPORTE</t>
  </si>
  <si>
    <t xml:space="preserve">VIAGENS E FEIRAS </t>
  </si>
  <si>
    <t>OUTRAS DESPESAS</t>
  </si>
  <si>
    <t>SUB TOTAL</t>
  </si>
  <si>
    <t>FINANCIMENTO/ALUGUEL DE VEICULOS</t>
  </si>
  <si>
    <t>COBRANÇA DE TITULOS</t>
  </si>
  <si>
    <t>ICMS</t>
  </si>
  <si>
    <t>PIS</t>
  </si>
  <si>
    <t>COFINS</t>
  </si>
  <si>
    <t>IR</t>
  </si>
  <si>
    <t>CONTRIBUIÇÃO SOCIAL</t>
  </si>
  <si>
    <t>SIMPLES NACIONAL</t>
  </si>
  <si>
    <t>FGTS</t>
  </si>
  <si>
    <t>INSS</t>
  </si>
  <si>
    <t>IPTU</t>
  </si>
  <si>
    <t>ISS</t>
  </si>
  <si>
    <t>CONTROLE - MONITORAMENTO</t>
  </si>
  <si>
    <t xml:space="preserve">RETIRADA PRO LABORE </t>
  </si>
  <si>
    <t xml:space="preserve">TOTAL DAS DESPESAS </t>
  </si>
  <si>
    <t xml:space="preserve">CONTROLE DE CUSTOS GERAIS </t>
  </si>
  <si>
    <t xml:space="preserve">PALNILHA DE ATIVOS A CURTO PRAZO TANGIVEIS </t>
  </si>
  <si>
    <t xml:space="preserve">FEVEREIRO </t>
  </si>
  <si>
    <t>CONTA</t>
  </si>
  <si>
    <t xml:space="preserve">VALOR </t>
  </si>
  <si>
    <t xml:space="preserve">MARÇO </t>
  </si>
  <si>
    <t xml:space="preserve">ABRIL </t>
  </si>
  <si>
    <t xml:space="preserve">MAIO </t>
  </si>
  <si>
    <t xml:space="preserve">DUPLICATAS A RECEBER </t>
  </si>
  <si>
    <t xml:space="preserve">DEVEDORES DUVIDOSOS </t>
  </si>
  <si>
    <t xml:space="preserve">VENCIDAS </t>
  </si>
  <si>
    <t xml:space="preserve">EMPRESTIMOS </t>
  </si>
  <si>
    <t xml:space="preserve">OUTROS </t>
  </si>
  <si>
    <t xml:space="preserve">TOTAIS </t>
  </si>
  <si>
    <t xml:space="preserve">PALNILHA DE PASSIVOS  CURTO E LONGO PRAZO  </t>
  </si>
  <si>
    <t xml:space="preserve">FORNECEDORES A PAGAR </t>
  </si>
  <si>
    <t xml:space="preserve">CHEQUES PRE DATADOS A PAGAR </t>
  </si>
  <si>
    <t xml:space="preserve">CHEQUE PRE DATADOS  A RECEBER </t>
  </si>
  <si>
    <t xml:space="preserve">VENCIMENTO </t>
  </si>
  <si>
    <t>BANCO ITAU 1</t>
  </si>
  <si>
    <t xml:space="preserve">BANCO ITAU 4 </t>
  </si>
  <si>
    <t xml:space="preserve">BANCO ITAU 2 </t>
  </si>
  <si>
    <t xml:space="preserve">IMPOSTOS ATRASADOS </t>
  </si>
  <si>
    <t xml:space="preserve">TERCEIRO </t>
  </si>
  <si>
    <t xml:space="preserve">SOCIOS </t>
  </si>
  <si>
    <t xml:space="preserve">BANCO DOIS </t>
  </si>
  <si>
    <t>JUROS MÊS</t>
  </si>
  <si>
    <t>JUROS FINAL</t>
  </si>
  <si>
    <t xml:space="preserve">OUTRAS DIVIDAS </t>
  </si>
  <si>
    <t xml:space="preserve">CONTA GARANTIDA </t>
  </si>
  <si>
    <t xml:space="preserve">DUPLICATAS DESCONTADAS </t>
  </si>
  <si>
    <t xml:space="preserve">MODELO </t>
  </si>
  <si>
    <t xml:space="preserve">COBERTURA </t>
  </si>
  <si>
    <t>EMPRESTIMO</t>
  </si>
  <si>
    <t xml:space="preserve">AVAL </t>
  </si>
  <si>
    <t xml:space="preserve">CARTÃO DE CREDITO A RECEBER </t>
  </si>
  <si>
    <t xml:space="preserve">EMPRESTIMOS A RECEBER </t>
  </si>
  <si>
    <t xml:space="preserve">JUROS DESCONTOS DE DUPLICATAS </t>
  </si>
  <si>
    <t xml:space="preserve">JUROS DE EMPRESTIMOS UM </t>
  </si>
  <si>
    <t xml:space="preserve">JUROS EMRPESTIMOS DOIS </t>
  </si>
  <si>
    <t xml:space="preserve">JUROS EMRPESTIMOS TRES </t>
  </si>
  <si>
    <t xml:space="preserve">JUROS BANCÁRIOS CONTA CORRENTE </t>
  </si>
  <si>
    <t xml:space="preserve">OS VALORES DIGITADOS SÃO EXEMPLOS PARA </t>
  </si>
  <si>
    <t xml:space="preserve">SEREM SEGUIDOS </t>
  </si>
  <si>
    <t>OBS</t>
  </si>
  <si>
    <t>FINACIAMENTO VEICULOS E MAQ</t>
  </si>
  <si>
    <t xml:space="preserve">CONSORCIOS </t>
  </si>
  <si>
    <t xml:space="preserve">CONSORCIOS PAGOS </t>
  </si>
  <si>
    <t xml:space="preserve">ESTOQUES  MERC. FINAL DO MÊS </t>
  </si>
  <si>
    <t xml:space="preserve">IMOBILIZADOS GERAL </t>
  </si>
  <si>
    <t xml:space="preserve">CARTÃO DE CREDITO A PAGAR </t>
  </si>
  <si>
    <t xml:space="preserve">LOCAÇÃO DE VEICULOS E MAQUINAS </t>
  </si>
  <si>
    <t xml:space="preserve">RESERVA TECNICA ELETRICISTA E OUTROS </t>
  </si>
  <si>
    <t xml:space="preserve">COMISSAO DE VENDAS </t>
  </si>
  <si>
    <t>13º SALÁRIO PROVISIONAR 1/12</t>
  </si>
  <si>
    <t xml:space="preserve">FÉRIAS PROVISONAR 1/12 </t>
  </si>
  <si>
    <t xml:space="preserve">SINDICATOS </t>
  </si>
  <si>
    <t xml:space="preserve">VEICULOS DOCUMENTOS PREVER 1/12 TOTAL </t>
  </si>
  <si>
    <t xml:space="preserve">VEICULOS MANUTENÇÃO PREVER 1/12 TOTAL </t>
  </si>
  <si>
    <t xml:space="preserve">VEICULOS SEGURO PREVER 1/12 TOTAL </t>
  </si>
  <si>
    <t xml:space="preserve">FOLHA DE PAGAMENTOS LIQUIDA </t>
  </si>
  <si>
    <t>DEZEMBRO 2025</t>
  </si>
  <si>
    <t>JANEIRO 2026</t>
  </si>
  <si>
    <t>FEVEREIRO 2026</t>
  </si>
  <si>
    <t>MARÇO 2026</t>
  </si>
  <si>
    <t xml:space="preserve">DARE </t>
  </si>
  <si>
    <t>INTERNET</t>
  </si>
  <si>
    <t>ERP</t>
  </si>
  <si>
    <t>TELEFONE WALDEMAR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</si>
</sst>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BE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3" fillId="4" borderId="5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right"/>
    </xf>
    <xf numFmtId="0" fontId="6" fillId="0" borderId="0" xfId="0" applyFont="1"/>
    <xf numFmtId="0" fontId="2" fillId="0" borderId="0" xfId="0" applyFont="1" applyFill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0" fillId="0" borderId="8" xfId="0" applyBorder="1"/>
    <xf numFmtId="0" fontId="0" fillId="0" borderId="8" xfId="0" applyFill="1" applyBorder="1"/>
    <xf numFmtId="0" fontId="0" fillId="5" borderId="8" xfId="0" applyFill="1" applyBorder="1"/>
    <xf numFmtId="0" fontId="0" fillId="0" borderId="0" xfId="0" applyBorder="1"/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4" fillId="0" borderId="26" xfId="0" applyFont="1" applyBorder="1"/>
    <xf numFmtId="0" fontId="4" fillId="0" borderId="17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8" xfId="0" applyNumberFormat="1" applyBorder="1"/>
    <xf numFmtId="0" fontId="0" fillId="6" borderId="0" xfId="0" applyFill="1"/>
    <xf numFmtId="0" fontId="0" fillId="0" borderId="0" xfId="0" applyBorder="1" applyAlignment="1">
      <alignment horizontal="center"/>
    </xf>
    <xf numFmtId="14" fontId="0" fillId="0" borderId="15" xfId="0" applyNumberFormat="1" applyBorder="1"/>
    <xf numFmtId="0" fontId="0" fillId="0" borderId="0" xfId="0" applyFill="1" applyBorder="1"/>
    <xf numFmtId="0" fontId="0" fillId="0" borderId="15" xfId="0" applyBorder="1"/>
    <xf numFmtId="0" fontId="0" fillId="0" borderId="15" xfId="0" applyFill="1" applyBorder="1"/>
    <xf numFmtId="0" fontId="0" fillId="0" borderId="10" xfId="0" applyFill="1" applyBorder="1"/>
    <xf numFmtId="0" fontId="0" fillId="0" borderId="12" xfId="0" applyBorder="1"/>
    <xf numFmtId="0" fontId="0" fillId="0" borderId="7" xfId="0" applyBorder="1"/>
    <xf numFmtId="0" fontId="0" fillId="0" borderId="12" xfId="0" applyFill="1" applyBorder="1"/>
    <xf numFmtId="44" fontId="0" fillId="0" borderId="8" xfId="2" applyFont="1" applyFill="1" applyBorder="1"/>
    <xf numFmtId="44" fontId="0" fillId="0" borderId="8" xfId="2" applyFont="1" applyBorder="1"/>
    <xf numFmtId="44" fontId="0" fillId="0" borderId="0" xfId="0" applyNumberFormat="1"/>
    <xf numFmtId="44" fontId="0" fillId="0" borderId="0" xfId="2" applyFont="1" applyBorder="1" applyAlignment="1">
      <alignment horizontal="center"/>
    </xf>
    <xf numFmtId="44" fontId="0" fillId="0" borderId="0" xfId="2" applyFont="1"/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3" fillId="0" borderId="22" xfId="0" applyFont="1" applyBorder="1" applyAlignment="1">
      <alignment horizontal="center"/>
    </xf>
    <xf numFmtId="0" fontId="4" fillId="0" borderId="0" xfId="0" applyFont="1" applyBorder="1"/>
    <xf numFmtId="44" fontId="0" fillId="0" borderId="8" xfId="0" applyNumberFormat="1" applyFill="1" applyBorder="1"/>
    <xf numFmtId="44" fontId="0" fillId="0" borderId="9" xfId="0" applyNumberFormat="1" applyFill="1" applyBorder="1"/>
    <xf numFmtId="44" fontId="0" fillId="0" borderId="8" xfId="0" applyNumberFormat="1" applyBorder="1"/>
    <xf numFmtId="44" fontId="0" fillId="0" borderId="9" xfId="0" applyNumberFormat="1" applyBorder="1"/>
    <xf numFmtId="44" fontId="7" fillId="3" borderId="7" xfId="0" applyNumberFormat="1" applyFont="1" applyFill="1" applyBorder="1"/>
    <xf numFmtId="44" fontId="4" fillId="0" borderId="5" xfId="0" applyNumberFormat="1" applyFont="1" applyBorder="1" applyAlignment="1">
      <alignment horizontal="right"/>
    </xf>
    <xf numFmtId="44" fontId="4" fillId="0" borderId="18" xfId="0" applyNumberFormat="1" applyFont="1" applyBorder="1" applyAlignment="1">
      <alignment horizontal="right"/>
    </xf>
    <xf numFmtId="44" fontId="3" fillId="5" borderId="22" xfId="0" applyNumberFormat="1" applyFont="1" applyFill="1" applyBorder="1" applyAlignment="1">
      <alignment horizontal="right"/>
    </xf>
    <xf numFmtId="44" fontId="4" fillId="0" borderId="16" xfId="0" applyNumberFormat="1" applyFont="1" applyFill="1" applyBorder="1" applyAlignment="1">
      <alignment horizontal="right"/>
    </xf>
    <xf numFmtId="44" fontId="4" fillId="0" borderId="22" xfId="0" applyNumberFormat="1" applyFont="1" applyFill="1" applyBorder="1" applyAlignment="1">
      <alignment horizontal="right"/>
    </xf>
    <xf numFmtId="44" fontId="4" fillId="0" borderId="18" xfId="0" applyNumberFormat="1" applyFont="1" applyFill="1" applyBorder="1" applyAlignment="1">
      <alignment horizontal="right"/>
    </xf>
    <xf numFmtId="44" fontId="4" fillId="0" borderId="3" xfId="0" applyNumberFormat="1" applyFont="1" applyFill="1" applyBorder="1" applyAlignment="1">
      <alignment horizontal="right"/>
    </xf>
    <xf numFmtId="44" fontId="4" fillId="0" borderId="5" xfId="0" applyNumberFormat="1" applyFont="1" applyFill="1" applyBorder="1" applyAlignment="1">
      <alignment horizontal="right"/>
    </xf>
    <xf numFmtId="44" fontId="3" fillId="5" borderId="3" xfId="0" applyNumberFormat="1" applyFont="1" applyFill="1" applyBorder="1" applyAlignment="1">
      <alignment horizontal="right"/>
    </xf>
    <xf numFmtId="44" fontId="3" fillId="5" borderId="5" xfId="0" applyNumberFormat="1" applyFont="1" applyFill="1" applyBorder="1" applyAlignment="1">
      <alignment horizontal="right"/>
    </xf>
    <xf numFmtId="44" fontId="0" fillId="0" borderId="21" xfId="0" applyNumberFormat="1" applyBorder="1"/>
    <xf numFmtId="44" fontId="0" fillId="5" borderId="25" xfId="0" applyNumberFormat="1" applyFill="1" applyBorder="1"/>
    <xf numFmtId="44" fontId="0" fillId="0" borderId="28" xfId="0" applyNumberFormat="1" applyFill="1" applyBorder="1"/>
    <xf numFmtId="44" fontId="0" fillId="0" borderId="25" xfId="0" applyNumberFormat="1" applyFill="1" applyBorder="1"/>
    <xf numFmtId="44" fontId="0" fillId="0" borderId="21" xfId="0" applyNumberFormat="1" applyFill="1" applyBorder="1"/>
    <xf numFmtId="44" fontId="0" fillId="0" borderId="15" xfId="0" applyNumberFormat="1" applyFill="1" applyBorder="1"/>
    <xf numFmtId="44" fontId="0" fillId="5" borderId="15" xfId="0" applyNumberFormat="1" applyFill="1" applyBorder="1"/>
    <xf numFmtId="44" fontId="0" fillId="5" borderId="8" xfId="0" applyNumberFormat="1" applyFill="1" applyBorder="1"/>
    <xf numFmtId="9" fontId="4" fillId="0" borderId="9" xfId="1" applyFont="1" applyBorder="1" applyAlignment="1">
      <alignment horizontal="right"/>
    </xf>
    <xf numFmtId="9" fontId="4" fillId="0" borderId="20" xfId="1" applyFont="1" applyBorder="1" applyAlignment="1">
      <alignment horizontal="right"/>
    </xf>
    <xf numFmtId="9" fontId="4" fillId="5" borderId="24" xfId="1" applyFont="1" applyFill="1" applyBorder="1" applyAlignment="1">
      <alignment horizontal="right"/>
    </xf>
    <xf numFmtId="9" fontId="4" fillId="0" borderId="27" xfId="1" applyFont="1" applyFill="1" applyBorder="1" applyAlignment="1">
      <alignment horizontal="right"/>
    </xf>
    <xf numFmtId="9" fontId="4" fillId="0" borderId="24" xfId="1" applyFont="1" applyFill="1" applyBorder="1" applyAlignment="1">
      <alignment horizontal="right"/>
    </xf>
    <xf numFmtId="9" fontId="4" fillId="0" borderId="20" xfId="1" applyFont="1" applyFill="1" applyBorder="1" applyAlignment="1">
      <alignment horizontal="right"/>
    </xf>
    <xf numFmtId="9" fontId="4" fillId="0" borderId="14" xfId="1" applyFont="1" applyFill="1" applyBorder="1" applyAlignment="1">
      <alignment horizontal="right"/>
    </xf>
    <xf numFmtId="9" fontId="4" fillId="0" borderId="9" xfId="1" applyFont="1" applyFill="1" applyBorder="1" applyAlignment="1">
      <alignment horizontal="right"/>
    </xf>
    <xf numFmtId="9" fontId="4" fillId="5" borderId="14" xfId="1" applyFont="1" applyFill="1" applyBorder="1" applyAlignment="1">
      <alignment horizontal="right"/>
    </xf>
    <xf numFmtId="9" fontId="4" fillId="5" borderId="9" xfId="1" applyFont="1" applyFill="1" applyBorder="1" applyAlignment="1">
      <alignment horizontal="right"/>
    </xf>
    <xf numFmtId="9" fontId="0" fillId="0" borderId="6" xfId="1" applyFont="1" applyBorder="1"/>
    <xf numFmtId="9" fontId="0" fillId="0" borderId="19" xfId="1" applyFont="1" applyBorder="1"/>
    <xf numFmtId="9" fontId="0" fillId="5" borderId="25" xfId="1" applyFont="1" applyFill="1" applyBorder="1"/>
    <xf numFmtId="9" fontId="0" fillId="0" borderId="17" xfId="1" applyFont="1" applyFill="1" applyBorder="1"/>
    <xf numFmtId="9" fontId="0" fillId="0" borderId="23" xfId="1" applyFont="1" applyFill="1" applyBorder="1"/>
    <xf numFmtId="9" fontId="0" fillId="0" borderId="19" xfId="1" applyFont="1" applyFill="1" applyBorder="1"/>
    <xf numFmtId="9" fontId="0" fillId="0" borderId="4" xfId="1" applyFont="1" applyFill="1" applyBorder="1"/>
    <xf numFmtId="9" fontId="0" fillId="0" borderId="6" xfId="1" applyFont="1" applyFill="1" applyBorder="1"/>
    <xf numFmtId="9" fontId="0" fillId="5" borderId="15" xfId="1" applyFont="1" applyFill="1" applyBorder="1"/>
    <xf numFmtId="9" fontId="0" fillId="0" borderId="8" xfId="1" applyFont="1" applyFill="1" applyBorder="1"/>
    <xf numFmtId="9" fontId="0" fillId="5" borderId="8" xfId="1" applyFont="1" applyFill="1" applyBorder="1"/>
    <xf numFmtId="9" fontId="0" fillId="5" borderId="13" xfId="1" applyFont="1" applyFill="1" applyBorder="1"/>
    <xf numFmtId="9" fontId="0" fillId="0" borderId="0" xfId="1" applyFont="1" applyBorder="1"/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3" fillId="4" borderId="5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right"/>
    </xf>
    <xf numFmtId="0" fontId="3" fillId="4" borderId="23" xfId="0" applyFont="1" applyFill="1" applyBorder="1" applyAlignment="1">
      <alignment horizontal="right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workbookViewId="0">
      <selection activeCell="C27" sqref="C27"/>
    </sheetView>
  </sheetViews>
  <sheetFormatPr defaultRowHeight="15" x14ac:dyDescent="0.25"/>
  <cols>
    <col min="2" max="2" width="47.85546875" customWidth="1"/>
    <col min="3" max="3" width="15.85546875" customWidth="1"/>
    <col min="5" max="5" width="16.7109375" customWidth="1"/>
    <col min="7" max="7" width="17.28515625" customWidth="1"/>
    <col min="9" max="9" width="12.140625" bestFit="1" customWidth="1"/>
  </cols>
  <sheetData>
    <row r="1" spans="1:10" ht="18.75" thickBot="1" x14ac:dyDescent="0.3">
      <c r="A1" s="98" t="s">
        <v>38</v>
      </c>
      <c r="B1" s="99"/>
      <c r="C1" s="91" t="s">
        <v>99</v>
      </c>
      <c r="D1" s="92"/>
      <c r="E1" s="92" t="s">
        <v>100</v>
      </c>
      <c r="F1" s="93"/>
      <c r="G1" s="92" t="s">
        <v>101</v>
      </c>
      <c r="H1" s="93"/>
      <c r="I1" s="92" t="s">
        <v>102</v>
      </c>
      <c r="J1" s="93"/>
    </row>
    <row r="2" spans="1:10" x14ac:dyDescent="0.25">
      <c r="A2" s="100" t="s">
        <v>0</v>
      </c>
      <c r="B2" s="101"/>
      <c r="C2" s="12" t="s">
        <v>1</v>
      </c>
      <c r="D2" s="13" t="s">
        <v>2</v>
      </c>
      <c r="E2" s="12" t="s">
        <v>1</v>
      </c>
      <c r="F2" s="13" t="s">
        <v>2</v>
      </c>
      <c r="G2" s="12" t="s">
        <v>1</v>
      </c>
      <c r="H2" s="13" t="s">
        <v>2</v>
      </c>
      <c r="I2" s="12" t="s">
        <v>1</v>
      </c>
      <c r="J2" s="13" t="s">
        <v>2</v>
      </c>
    </row>
    <row r="3" spans="1:10" x14ac:dyDescent="0.25">
      <c r="A3" s="1">
        <v>1</v>
      </c>
      <c r="B3" s="2" t="s">
        <v>3</v>
      </c>
      <c r="C3" s="50">
        <v>0</v>
      </c>
      <c r="D3" s="68"/>
      <c r="E3" s="47">
        <v>0</v>
      </c>
      <c r="F3" s="78"/>
      <c r="G3" s="47">
        <v>0</v>
      </c>
      <c r="H3" s="78"/>
      <c r="I3" s="47">
        <v>0</v>
      </c>
      <c r="J3" s="78"/>
    </row>
    <row r="4" spans="1:10" x14ac:dyDescent="0.25">
      <c r="A4" s="1">
        <v>2</v>
      </c>
      <c r="B4" s="2" t="s">
        <v>4</v>
      </c>
      <c r="C4" s="50">
        <v>1500</v>
      </c>
      <c r="D4" s="68"/>
      <c r="E4" s="47">
        <v>1500</v>
      </c>
      <c r="F4" s="78"/>
      <c r="G4" s="47">
        <v>1500</v>
      </c>
      <c r="H4" s="78"/>
      <c r="I4" s="47">
        <v>1500</v>
      </c>
      <c r="J4" s="78"/>
    </row>
    <row r="5" spans="1:10" x14ac:dyDescent="0.25">
      <c r="A5" s="1">
        <v>3</v>
      </c>
      <c r="B5" s="2" t="s">
        <v>5</v>
      </c>
      <c r="C5" s="50">
        <v>0</v>
      </c>
      <c r="D5" s="68"/>
      <c r="E5" s="47">
        <v>0</v>
      </c>
      <c r="F5" s="78"/>
      <c r="G5" s="47">
        <v>0</v>
      </c>
      <c r="H5" s="78"/>
      <c r="I5" s="47">
        <v>0</v>
      </c>
      <c r="J5" s="78"/>
    </row>
    <row r="6" spans="1:10" x14ac:dyDescent="0.25">
      <c r="A6" s="1">
        <v>4</v>
      </c>
      <c r="B6" s="2" t="s">
        <v>6</v>
      </c>
      <c r="C6" s="50">
        <v>2000</v>
      </c>
      <c r="D6" s="68"/>
      <c r="E6" s="47">
        <v>2150</v>
      </c>
      <c r="F6" s="78"/>
      <c r="G6" s="47">
        <v>2150</v>
      </c>
      <c r="H6" s="78"/>
      <c r="I6" s="47">
        <v>2150</v>
      </c>
      <c r="J6" s="78"/>
    </row>
    <row r="7" spans="1:10" x14ac:dyDescent="0.25">
      <c r="A7" s="1">
        <v>5</v>
      </c>
      <c r="B7" s="2" t="s">
        <v>104</v>
      </c>
      <c r="C7" s="50">
        <v>122.34</v>
      </c>
      <c r="D7" s="68"/>
      <c r="E7" s="47">
        <v>122.62</v>
      </c>
      <c r="F7" s="78"/>
      <c r="G7" s="47">
        <v>122.42</v>
      </c>
      <c r="H7" s="78"/>
      <c r="I7" s="47"/>
      <c r="J7" s="78"/>
    </row>
    <row r="8" spans="1:10" x14ac:dyDescent="0.25">
      <c r="A8" s="1">
        <v>6</v>
      </c>
      <c r="B8" s="2" t="s">
        <v>7</v>
      </c>
      <c r="C8" s="50">
        <v>0</v>
      </c>
      <c r="D8" s="68"/>
      <c r="E8" s="47">
        <v>0</v>
      </c>
      <c r="F8" s="78"/>
      <c r="G8" s="47">
        <v>0</v>
      </c>
      <c r="H8" s="78"/>
      <c r="I8" s="47">
        <v>0</v>
      </c>
      <c r="J8" s="78"/>
    </row>
    <row r="9" spans="1:10" x14ac:dyDescent="0.25">
      <c r="A9" s="1">
        <v>7</v>
      </c>
      <c r="B9" s="2" t="s">
        <v>35</v>
      </c>
      <c r="C9" s="50"/>
      <c r="D9" s="68"/>
      <c r="E9" s="47"/>
      <c r="F9" s="78"/>
      <c r="G9" s="47"/>
      <c r="H9" s="78"/>
      <c r="I9" s="47"/>
      <c r="J9" s="78"/>
    </row>
    <row r="10" spans="1:10" x14ac:dyDescent="0.25">
      <c r="A10" s="1">
        <v>8</v>
      </c>
      <c r="B10" s="2" t="s">
        <v>8</v>
      </c>
      <c r="C10" s="50"/>
      <c r="D10" s="68"/>
      <c r="E10" s="47"/>
      <c r="F10" s="78"/>
      <c r="G10" s="47"/>
      <c r="H10" s="78"/>
      <c r="I10" s="47"/>
      <c r="J10" s="78"/>
    </row>
    <row r="11" spans="1:10" x14ac:dyDescent="0.25">
      <c r="A11" s="1">
        <v>9</v>
      </c>
      <c r="B11" s="2" t="s">
        <v>9</v>
      </c>
      <c r="C11" s="50"/>
      <c r="D11" s="68"/>
      <c r="E11" s="47"/>
      <c r="F11" s="78"/>
      <c r="G11" s="47"/>
      <c r="H11" s="78"/>
      <c r="I11" s="47"/>
      <c r="J11" s="78"/>
    </row>
    <row r="12" spans="1:10" x14ac:dyDescent="0.25">
      <c r="A12" s="1">
        <v>10</v>
      </c>
      <c r="B12" s="2" t="s">
        <v>10</v>
      </c>
      <c r="C12" s="50"/>
      <c r="D12" s="68"/>
      <c r="E12" s="47"/>
      <c r="F12" s="78"/>
      <c r="G12" s="47"/>
      <c r="H12" s="78"/>
      <c r="I12" s="47"/>
      <c r="J12" s="78"/>
    </row>
    <row r="13" spans="1:10" x14ac:dyDescent="0.25">
      <c r="A13" s="1">
        <v>11</v>
      </c>
      <c r="B13" s="2" t="s">
        <v>105</v>
      </c>
      <c r="C13" s="50">
        <v>539</v>
      </c>
      <c r="D13" s="68"/>
      <c r="E13" s="47">
        <v>479</v>
      </c>
      <c r="F13" s="78"/>
      <c r="G13" s="47">
        <v>479</v>
      </c>
      <c r="H13" s="78"/>
      <c r="I13" s="47">
        <v>479</v>
      </c>
      <c r="J13" s="78"/>
    </row>
    <row r="14" spans="1:10" x14ac:dyDescent="0.25">
      <c r="A14" s="1">
        <v>12</v>
      </c>
      <c r="B14" s="2" t="s">
        <v>11</v>
      </c>
      <c r="C14" s="50">
        <v>2005.79</v>
      </c>
      <c r="D14" s="68"/>
      <c r="E14" s="47">
        <v>1408.88</v>
      </c>
      <c r="F14" s="78"/>
      <c r="G14" s="47">
        <v>1408.88</v>
      </c>
      <c r="H14" s="78"/>
      <c r="I14" s="47">
        <v>1408.88</v>
      </c>
      <c r="J14" s="78"/>
    </row>
    <row r="15" spans="1:10" x14ac:dyDescent="0.25">
      <c r="A15" s="1">
        <v>13</v>
      </c>
      <c r="B15" s="2" t="s">
        <v>12</v>
      </c>
      <c r="C15" s="50">
        <v>66.52</v>
      </c>
      <c r="D15" s="68"/>
      <c r="E15" s="47">
        <v>66.52</v>
      </c>
      <c r="F15" s="78"/>
      <c r="G15" s="47">
        <v>66.52</v>
      </c>
      <c r="H15" s="78"/>
      <c r="I15" s="47">
        <v>0</v>
      </c>
      <c r="J15" s="78"/>
    </row>
    <row r="16" spans="1:10" x14ac:dyDescent="0.25">
      <c r="A16" s="1">
        <v>14</v>
      </c>
      <c r="B16" s="2" t="s">
        <v>13</v>
      </c>
      <c r="C16" s="50">
        <v>441</v>
      </c>
      <c r="D16" s="68"/>
      <c r="E16" s="47">
        <v>441</v>
      </c>
      <c r="F16" s="78"/>
      <c r="G16" s="47">
        <v>441</v>
      </c>
      <c r="H16" s="78"/>
      <c r="I16" s="47">
        <v>441</v>
      </c>
      <c r="J16" s="78"/>
    </row>
    <row r="17" spans="1:10" x14ac:dyDescent="0.25">
      <c r="A17" s="1">
        <v>15</v>
      </c>
      <c r="B17" s="2" t="s">
        <v>106</v>
      </c>
      <c r="C17" s="50">
        <v>115</v>
      </c>
      <c r="D17" s="68"/>
      <c r="E17" s="47">
        <v>115</v>
      </c>
      <c r="F17" s="78"/>
      <c r="G17" s="47">
        <v>117.33</v>
      </c>
      <c r="H17" s="78"/>
      <c r="I17" s="47">
        <v>115</v>
      </c>
      <c r="J17" s="78"/>
    </row>
    <row r="18" spans="1:10" x14ac:dyDescent="0.25">
      <c r="A18" s="1">
        <v>16</v>
      </c>
      <c r="B18" s="2" t="s">
        <v>14</v>
      </c>
      <c r="C18" s="50">
        <v>1099</v>
      </c>
      <c r="D18" s="68"/>
      <c r="E18" s="47">
        <v>1099</v>
      </c>
      <c r="F18" s="78"/>
      <c r="G18" s="47">
        <v>1123.8900000000001</v>
      </c>
      <c r="H18" s="78"/>
      <c r="I18" s="47">
        <v>0</v>
      </c>
      <c r="J18" s="78"/>
    </row>
    <row r="19" spans="1:10" x14ac:dyDescent="0.25">
      <c r="A19" s="1">
        <v>17</v>
      </c>
      <c r="B19" s="2" t="s">
        <v>15</v>
      </c>
      <c r="C19" s="50"/>
      <c r="D19" s="68"/>
      <c r="E19" s="47"/>
      <c r="F19" s="78"/>
      <c r="G19" s="47"/>
      <c r="H19" s="78"/>
      <c r="I19" s="47"/>
      <c r="J19" s="78"/>
    </row>
    <row r="20" spans="1:10" x14ac:dyDescent="0.25">
      <c r="A20" s="1">
        <v>18</v>
      </c>
      <c r="B20" s="2" t="s">
        <v>95</v>
      </c>
      <c r="C20" s="50">
        <v>0</v>
      </c>
      <c r="D20" s="68"/>
      <c r="E20" s="47">
        <v>0</v>
      </c>
      <c r="F20" s="78"/>
      <c r="G20" s="47">
        <v>0</v>
      </c>
      <c r="H20" s="78"/>
      <c r="I20" s="47"/>
      <c r="J20" s="78"/>
    </row>
    <row r="21" spans="1:10" x14ac:dyDescent="0.25">
      <c r="A21" s="1">
        <v>19</v>
      </c>
      <c r="B21" s="2" t="s">
        <v>96</v>
      </c>
      <c r="C21" s="50">
        <v>0</v>
      </c>
      <c r="D21" s="68"/>
      <c r="E21" s="47">
        <v>0</v>
      </c>
      <c r="F21" s="78"/>
      <c r="G21" s="47">
        <v>0</v>
      </c>
      <c r="H21" s="78"/>
      <c r="I21" s="47"/>
      <c r="J21" s="78"/>
    </row>
    <row r="22" spans="1:10" x14ac:dyDescent="0.25">
      <c r="A22" s="1">
        <v>20</v>
      </c>
      <c r="B22" s="2" t="s">
        <v>97</v>
      </c>
      <c r="C22" s="50">
        <v>0</v>
      </c>
      <c r="D22" s="68"/>
      <c r="E22" s="47">
        <v>0</v>
      </c>
      <c r="F22" s="78"/>
      <c r="G22" s="47">
        <v>0</v>
      </c>
      <c r="H22" s="78"/>
      <c r="I22" s="47">
        <v>0</v>
      </c>
      <c r="J22" s="78"/>
    </row>
    <row r="23" spans="1:10" x14ac:dyDescent="0.25">
      <c r="A23" s="1">
        <v>21</v>
      </c>
      <c r="B23" s="2" t="s">
        <v>16</v>
      </c>
      <c r="C23" s="50">
        <v>0</v>
      </c>
      <c r="D23" s="68"/>
      <c r="E23" s="47">
        <v>0</v>
      </c>
      <c r="F23" s="78"/>
      <c r="G23" s="47">
        <v>0</v>
      </c>
      <c r="H23" s="78"/>
      <c r="I23" s="47">
        <v>0</v>
      </c>
      <c r="J23" s="78"/>
    </row>
    <row r="24" spans="1:10" x14ac:dyDescent="0.25">
      <c r="A24" s="1">
        <v>22</v>
      </c>
      <c r="B24" s="2" t="s">
        <v>17</v>
      </c>
      <c r="C24" s="50">
        <v>0</v>
      </c>
      <c r="D24" s="68"/>
      <c r="E24" s="47">
        <v>0</v>
      </c>
      <c r="F24" s="78"/>
      <c r="G24" s="47">
        <v>0</v>
      </c>
      <c r="H24" s="78"/>
      <c r="I24" s="47">
        <v>0</v>
      </c>
      <c r="J24" s="78"/>
    </row>
    <row r="25" spans="1:10" x14ac:dyDescent="0.25">
      <c r="A25" s="1">
        <v>23</v>
      </c>
      <c r="B25" s="2" t="s">
        <v>18</v>
      </c>
      <c r="C25" s="50">
        <v>1200</v>
      </c>
      <c r="D25" s="68"/>
      <c r="E25" s="47">
        <v>1200</v>
      </c>
      <c r="F25" s="78"/>
      <c r="G25" s="47">
        <v>800</v>
      </c>
      <c r="H25" s="78"/>
      <c r="I25" s="47">
        <v>1200</v>
      </c>
      <c r="J25" s="78"/>
    </row>
    <row r="26" spans="1:10" x14ac:dyDescent="0.25">
      <c r="A26" s="1">
        <v>24</v>
      </c>
      <c r="B26" s="2" t="s">
        <v>19</v>
      </c>
      <c r="C26" s="50">
        <v>390</v>
      </c>
      <c r="D26" s="68"/>
      <c r="E26" s="47">
        <v>390</v>
      </c>
      <c r="F26" s="78"/>
      <c r="G26" s="47">
        <v>390</v>
      </c>
      <c r="H26" s="78"/>
      <c r="I26" s="47">
        <v>390</v>
      </c>
      <c r="J26" s="78"/>
    </row>
    <row r="27" spans="1:10" x14ac:dyDescent="0.25">
      <c r="A27" s="1">
        <v>25</v>
      </c>
      <c r="B27" s="2" t="s">
        <v>98</v>
      </c>
      <c r="C27" s="50"/>
      <c r="D27" s="68"/>
      <c r="E27" s="47">
        <v>3784</v>
      </c>
      <c r="F27" s="78"/>
      <c r="G27" s="47"/>
      <c r="H27" s="78"/>
      <c r="I27" s="47"/>
      <c r="J27" s="78"/>
    </row>
    <row r="28" spans="1:10" x14ac:dyDescent="0.25">
      <c r="A28" s="1">
        <v>26</v>
      </c>
      <c r="B28" s="2" t="s">
        <v>93</v>
      </c>
      <c r="C28" s="50"/>
      <c r="D28" s="68"/>
      <c r="E28" s="47"/>
      <c r="F28" s="78"/>
      <c r="G28" s="47"/>
      <c r="H28" s="78"/>
      <c r="I28" s="47"/>
      <c r="J28" s="78"/>
    </row>
    <row r="29" spans="1:10" x14ac:dyDescent="0.25">
      <c r="A29" s="1">
        <v>27</v>
      </c>
      <c r="B29" s="2" t="s">
        <v>92</v>
      </c>
      <c r="C29" s="50"/>
      <c r="D29" s="68"/>
      <c r="E29" s="47"/>
      <c r="F29" s="78"/>
      <c r="G29" s="47"/>
      <c r="H29" s="78"/>
      <c r="I29" s="47"/>
      <c r="J29" s="78"/>
    </row>
    <row r="30" spans="1:10" x14ac:dyDescent="0.25">
      <c r="A30" s="1">
        <v>28</v>
      </c>
      <c r="B30" s="2" t="s">
        <v>94</v>
      </c>
      <c r="C30" s="50"/>
      <c r="D30" s="68"/>
      <c r="E30" s="47"/>
      <c r="F30" s="78"/>
      <c r="G30" s="47"/>
      <c r="H30" s="78"/>
      <c r="I30" s="47"/>
      <c r="J30" s="78"/>
    </row>
    <row r="31" spans="1:10" x14ac:dyDescent="0.25">
      <c r="A31" s="1">
        <v>29</v>
      </c>
      <c r="B31" s="2" t="s">
        <v>20</v>
      </c>
      <c r="C31" s="50"/>
      <c r="D31" s="68"/>
      <c r="E31" s="47"/>
      <c r="F31" s="78"/>
      <c r="G31" s="47"/>
      <c r="H31" s="78"/>
      <c r="I31" s="47"/>
      <c r="J31" s="78"/>
    </row>
    <row r="32" spans="1:10" x14ac:dyDescent="0.25">
      <c r="A32" s="1">
        <v>30</v>
      </c>
      <c r="B32" s="7" t="s">
        <v>36</v>
      </c>
      <c r="C32" s="50"/>
      <c r="D32" s="68"/>
      <c r="E32" s="47"/>
      <c r="F32" s="78"/>
      <c r="G32" s="47"/>
      <c r="H32" s="78"/>
      <c r="I32" s="47"/>
      <c r="J32" s="78"/>
    </row>
    <row r="33" spans="1:10" ht="15.75" thickBot="1" x14ac:dyDescent="0.3">
      <c r="A33" s="14">
        <v>31</v>
      </c>
      <c r="B33" s="15" t="s">
        <v>21</v>
      </c>
      <c r="C33" s="51"/>
      <c r="D33" s="69"/>
      <c r="E33" s="60"/>
      <c r="F33" s="79"/>
      <c r="G33" s="60"/>
      <c r="H33" s="79"/>
      <c r="I33" s="60"/>
      <c r="J33" s="79"/>
    </row>
    <row r="34" spans="1:10" ht="15.75" thickBot="1" x14ac:dyDescent="0.3">
      <c r="A34" s="102" t="s">
        <v>22</v>
      </c>
      <c r="B34" s="103"/>
      <c r="C34" s="52"/>
      <c r="D34" s="70"/>
      <c r="E34" s="61"/>
      <c r="F34" s="80"/>
      <c r="G34" s="61"/>
      <c r="H34" s="80"/>
      <c r="I34" s="61"/>
      <c r="J34" s="80"/>
    </row>
    <row r="35" spans="1:10" x14ac:dyDescent="0.25">
      <c r="A35" s="16">
        <v>32</v>
      </c>
      <c r="B35" s="17" t="s">
        <v>23</v>
      </c>
      <c r="C35" s="53">
        <v>0</v>
      </c>
      <c r="D35" s="71"/>
      <c r="E35" s="62"/>
      <c r="F35" s="81"/>
      <c r="G35" s="62"/>
      <c r="H35" s="81"/>
      <c r="I35" s="62"/>
      <c r="J35" s="81"/>
    </row>
    <row r="36" spans="1:10" x14ac:dyDescent="0.25">
      <c r="A36" s="43">
        <v>33</v>
      </c>
      <c r="B36" s="44" t="s">
        <v>89</v>
      </c>
      <c r="C36" s="54">
        <v>0</v>
      </c>
      <c r="D36" s="72"/>
      <c r="E36" s="63"/>
      <c r="F36" s="82"/>
      <c r="G36" s="63"/>
      <c r="H36" s="82"/>
      <c r="I36" s="63"/>
      <c r="J36" s="82"/>
    </row>
    <row r="37" spans="1:10" ht="15.75" thickBot="1" x14ac:dyDescent="0.3">
      <c r="A37" s="14">
        <v>34</v>
      </c>
      <c r="B37" s="15" t="s">
        <v>21</v>
      </c>
      <c r="C37" s="55"/>
      <c r="D37" s="73"/>
      <c r="E37" s="64"/>
      <c r="F37" s="83"/>
      <c r="G37" s="64"/>
      <c r="H37" s="83"/>
      <c r="I37" s="64"/>
      <c r="J37" s="83"/>
    </row>
    <row r="38" spans="1:10" ht="15.75" thickBot="1" x14ac:dyDescent="0.3">
      <c r="A38" s="102" t="s">
        <v>22</v>
      </c>
      <c r="B38" s="103"/>
      <c r="C38" s="52"/>
      <c r="D38" s="70"/>
      <c r="E38" s="61"/>
      <c r="F38" s="80"/>
      <c r="G38" s="61"/>
      <c r="H38" s="80"/>
      <c r="I38" s="61"/>
      <c r="J38" s="80"/>
    </row>
    <row r="39" spans="1:10" x14ac:dyDescent="0.25">
      <c r="A39" s="16">
        <v>35</v>
      </c>
      <c r="B39" s="18" t="s">
        <v>79</v>
      </c>
      <c r="C39" s="53"/>
      <c r="D39" s="71"/>
      <c r="E39" s="62"/>
      <c r="F39" s="81"/>
      <c r="G39" s="62"/>
      <c r="H39" s="81"/>
      <c r="I39" s="62"/>
      <c r="J39" s="81"/>
    </row>
    <row r="40" spans="1:10" x14ac:dyDescent="0.25">
      <c r="A40" s="41">
        <v>36</v>
      </c>
      <c r="B40" s="42" t="s">
        <v>75</v>
      </c>
      <c r="C40" s="56"/>
      <c r="D40" s="74"/>
      <c r="E40" s="65"/>
      <c r="F40" s="84"/>
      <c r="G40" s="65"/>
      <c r="H40" s="84"/>
      <c r="I40" s="65"/>
      <c r="J40" s="84"/>
    </row>
    <row r="41" spans="1:10" x14ac:dyDescent="0.25">
      <c r="A41" s="1">
        <v>37</v>
      </c>
      <c r="B41" s="2" t="s">
        <v>76</v>
      </c>
      <c r="C41" s="57"/>
      <c r="D41" s="75"/>
      <c r="E41" s="45"/>
      <c r="F41" s="85"/>
      <c r="G41" s="45"/>
      <c r="H41" s="85"/>
      <c r="I41" s="45"/>
      <c r="J41" s="85"/>
    </row>
    <row r="42" spans="1:10" x14ac:dyDescent="0.25">
      <c r="A42" s="1">
        <v>38</v>
      </c>
      <c r="B42" s="2" t="s">
        <v>77</v>
      </c>
      <c r="C42" s="57"/>
      <c r="D42" s="75"/>
      <c r="E42" s="45"/>
      <c r="F42" s="85"/>
      <c r="G42" s="45"/>
      <c r="H42" s="85"/>
      <c r="I42" s="45"/>
      <c r="J42" s="85"/>
    </row>
    <row r="43" spans="1:10" x14ac:dyDescent="0.25">
      <c r="A43" s="1">
        <v>39</v>
      </c>
      <c r="B43" s="2" t="s">
        <v>78</v>
      </c>
      <c r="C43" s="57"/>
      <c r="D43" s="75"/>
      <c r="E43" s="45"/>
      <c r="F43" s="85"/>
      <c r="G43" s="45"/>
      <c r="H43" s="85"/>
      <c r="I43" s="45"/>
      <c r="J43" s="85"/>
    </row>
    <row r="44" spans="1:10" x14ac:dyDescent="0.25">
      <c r="A44" s="1">
        <v>40</v>
      </c>
      <c r="B44" s="2" t="s">
        <v>24</v>
      </c>
      <c r="C44" s="57"/>
      <c r="D44" s="75"/>
      <c r="E44" s="45"/>
      <c r="F44" s="85"/>
      <c r="G44" s="45"/>
      <c r="H44" s="85"/>
      <c r="I44" s="45"/>
      <c r="J44" s="85"/>
    </row>
    <row r="45" spans="1:10" ht="15.75" thickBot="1" x14ac:dyDescent="0.3">
      <c r="A45" s="14">
        <v>41</v>
      </c>
      <c r="B45" s="15" t="s">
        <v>21</v>
      </c>
      <c r="C45" s="55"/>
      <c r="D45" s="73"/>
      <c r="E45" s="64"/>
      <c r="F45" s="83"/>
      <c r="G45" s="64"/>
      <c r="H45" s="83"/>
      <c r="I45" s="64"/>
      <c r="J45" s="83"/>
    </row>
    <row r="46" spans="1:10" x14ac:dyDescent="0.25">
      <c r="A46" s="94" t="s">
        <v>22</v>
      </c>
      <c r="B46" s="95"/>
      <c r="C46" s="58"/>
      <c r="D46" s="76"/>
      <c r="E46" s="66"/>
      <c r="F46" s="86"/>
      <c r="G46" s="66"/>
      <c r="H46" s="86"/>
      <c r="I46" s="66"/>
      <c r="J46" s="86"/>
    </row>
    <row r="47" spans="1:10" x14ac:dyDescent="0.25">
      <c r="A47" s="1">
        <v>42</v>
      </c>
      <c r="B47" s="2" t="s">
        <v>25</v>
      </c>
      <c r="C47" s="57"/>
      <c r="D47" s="75"/>
      <c r="E47" s="45"/>
      <c r="F47" s="87"/>
      <c r="G47" s="45"/>
      <c r="H47" s="87"/>
      <c r="I47" s="45"/>
      <c r="J47" s="87"/>
    </row>
    <row r="48" spans="1:10" x14ac:dyDescent="0.25">
      <c r="A48" s="1">
        <v>43</v>
      </c>
      <c r="B48" s="2" t="s">
        <v>26</v>
      </c>
      <c r="C48" s="57"/>
      <c r="D48" s="75"/>
      <c r="E48" s="45"/>
      <c r="F48" s="87"/>
      <c r="G48" s="45"/>
      <c r="H48" s="87"/>
      <c r="I48" s="45"/>
      <c r="J48" s="87"/>
    </row>
    <row r="49" spans="1:10" x14ac:dyDescent="0.25">
      <c r="A49" s="1">
        <v>44</v>
      </c>
      <c r="B49" s="2" t="s">
        <v>27</v>
      </c>
      <c r="C49" s="57"/>
      <c r="D49" s="75"/>
      <c r="E49" s="45"/>
      <c r="F49" s="87"/>
      <c r="G49" s="45"/>
      <c r="H49" s="87"/>
      <c r="I49" s="45"/>
      <c r="J49" s="87"/>
    </row>
    <row r="50" spans="1:10" x14ac:dyDescent="0.25">
      <c r="A50" s="1">
        <v>45</v>
      </c>
      <c r="B50" s="2" t="s">
        <v>28</v>
      </c>
      <c r="C50" s="57"/>
      <c r="D50" s="75"/>
      <c r="E50" s="45"/>
      <c r="F50" s="87"/>
      <c r="G50" s="45"/>
      <c r="H50" s="87"/>
      <c r="I50" s="45"/>
      <c r="J50" s="87"/>
    </row>
    <row r="51" spans="1:10" x14ac:dyDescent="0.25">
      <c r="A51" s="1">
        <v>46</v>
      </c>
      <c r="B51" s="2" t="s">
        <v>29</v>
      </c>
      <c r="C51" s="57"/>
      <c r="D51" s="75"/>
      <c r="E51" s="45"/>
      <c r="F51" s="87"/>
      <c r="G51" s="45"/>
      <c r="H51" s="87"/>
      <c r="I51" s="45"/>
      <c r="J51" s="87"/>
    </row>
    <row r="52" spans="1:10" x14ac:dyDescent="0.25">
      <c r="A52" s="1">
        <v>47</v>
      </c>
      <c r="B52" s="2" t="s">
        <v>30</v>
      </c>
      <c r="C52" s="57"/>
      <c r="D52" s="75"/>
      <c r="E52" s="45"/>
      <c r="F52" s="87"/>
      <c r="G52" s="45"/>
      <c r="H52" s="87"/>
      <c r="I52" s="45"/>
      <c r="J52" s="87"/>
    </row>
    <row r="53" spans="1:10" x14ac:dyDescent="0.25">
      <c r="A53" s="1">
        <v>48</v>
      </c>
      <c r="B53" s="2" t="s">
        <v>31</v>
      </c>
      <c r="C53" s="57"/>
      <c r="D53" s="75"/>
      <c r="E53" s="45"/>
      <c r="F53" s="87"/>
      <c r="G53" s="45"/>
      <c r="H53" s="87"/>
      <c r="I53" s="45"/>
      <c r="J53" s="87"/>
    </row>
    <row r="54" spans="1:10" x14ac:dyDescent="0.25">
      <c r="A54" s="1">
        <v>49</v>
      </c>
      <c r="B54" s="2" t="s">
        <v>32</v>
      </c>
      <c r="C54" s="57"/>
      <c r="D54" s="75"/>
      <c r="E54" s="45"/>
      <c r="F54" s="87"/>
      <c r="G54" s="45"/>
      <c r="H54" s="87"/>
      <c r="I54" s="45"/>
      <c r="J54" s="87"/>
    </row>
    <row r="55" spans="1:10" x14ac:dyDescent="0.25">
      <c r="A55" s="1">
        <v>50</v>
      </c>
      <c r="B55" s="2" t="s">
        <v>33</v>
      </c>
      <c r="C55" s="57"/>
      <c r="D55" s="75"/>
      <c r="E55" s="45"/>
      <c r="F55" s="87"/>
      <c r="G55" s="45"/>
      <c r="H55" s="87"/>
      <c r="I55" s="45"/>
      <c r="J55" s="87"/>
    </row>
    <row r="56" spans="1:10" x14ac:dyDescent="0.25">
      <c r="A56" s="1">
        <v>51</v>
      </c>
      <c r="B56" s="2" t="s">
        <v>34</v>
      </c>
      <c r="C56" s="57"/>
      <c r="D56" s="75"/>
      <c r="E56" s="45"/>
      <c r="F56" s="87"/>
      <c r="G56" s="45"/>
      <c r="H56" s="87"/>
      <c r="I56" s="45"/>
      <c r="J56" s="87"/>
    </row>
    <row r="57" spans="1:10" x14ac:dyDescent="0.25">
      <c r="A57" s="1">
        <v>52</v>
      </c>
      <c r="B57" s="2" t="s">
        <v>103</v>
      </c>
      <c r="C57" s="57">
        <v>0</v>
      </c>
      <c r="D57" s="75"/>
      <c r="E57" s="45"/>
      <c r="F57" s="87"/>
      <c r="G57" s="45"/>
      <c r="H57" s="87"/>
      <c r="I57" s="45"/>
      <c r="J57" s="87"/>
    </row>
    <row r="58" spans="1:10" x14ac:dyDescent="0.25">
      <c r="A58" s="1">
        <v>53</v>
      </c>
      <c r="B58" s="2" t="s">
        <v>21</v>
      </c>
      <c r="C58" s="57"/>
      <c r="D58" s="75"/>
      <c r="E58" s="45"/>
      <c r="F58" s="87"/>
      <c r="G58" s="45"/>
      <c r="H58" s="87"/>
      <c r="I58" s="45"/>
      <c r="J58" s="87"/>
    </row>
    <row r="59" spans="1:10" x14ac:dyDescent="0.25">
      <c r="A59" s="96" t="s">
        <v>22</v>
      </c>
      <c r="B59" s="97"/>
      <c r="C59" s="59"/>
      <c r="D59" s="77"/>
      <c r="E59" s="67"/>
      <c r="F59" s="88"/>
      <c r="G59" s="67"/>
      <c r="H59" s="88"/>
      <c r="I59" s="67"/>
      <c r="J59" s="88"/>
    </row>
    <row r="60" spans="1:10" x14ac:dyDescent="0.25">
      <c r="A60" s="1">
        <v>54</v>
      </c>
      <c r="B60" s="2" t="s">
        <v>90</v>
      </c>
      <c r="C60" s="57">
        <v>0</v>
      </c>
      <c r="D60" s="75"/>
      <c r="E60" s="45"/>
      <c r="F60" s="87"/>
      <c r="G60" s="45"/>
      <c r="H60" s="87"/>
      <c r="I60" s="45"/>
      <c r="J60" s="87"/>
    </row>
    <row r="61" spans="1:10" x14ac:dyDescent="0.25">
      <c r="A61" s="1">
        <v>55</v>
      </c>
      <c r="B61" s="2" t="s">
        <v>91</v>
      </c>
      <c r="C61" s="57">
        <v>0</v>
      </c>
      <c r="D61" s="75"/>
      <c r="E61" s="45"/>
      <c r="F61" s="87"/>
      <c r="G61" s="45"/>
      <c r="H61" s="87"/>
      <c r="I61" s="45"/>
      <c r="J61" s="87"/>
    </row>
    <row r="62" spans="1:10" x14ac:dyDescent="0.25">
      <c r="A62" s="1">
        <v>56</v>
      </c>
      <c r="B62" s="2"/>
      <c r="C62" s="57"/>
      <c r="D62" s="75"/>
      <c r="E62" s="45"/>
      <c r="F62" s="87"/>
      <c r="G62" s="45"/>
      <c r="H62" s="87"/>
      <c r="I62" s="45"/>
      <c r="J62" s="87"/>
    </row>
    <row r="63" spans="1:10" x14ac:dyDescent="0.25">
      <c r="A63" s="1">
        <v>57</v>
      </c>
      <c r="B63" s="2"/>
      <c r="C63" s="57"/>
      <c r="D63" s="75"/>
      <c r="E63" s="45"/>
      <c r="F63" s="87"/>
      <c r="G63" s="45"/>
      <c r="H63" s="87"/>
      <c r="I63" s="45"/>
      <c r="J63" s="87"/>
    </row>
    <row r="64" spans="1:10" x14ac:dyDescent="0.25">
      <c r="A64" s="1">
        <v>58</v>
      </c>
      <c r="B64" s="2" t="s">
        <v>21</v>
      </c>
      <c r="C64" s="57"/>
      <c r="D64" s="75"/>
      <c r="E64" s="45"/>
      <c r="F64" s="87"/>
      <c r="G64" s="45"/>
      <c r="H64" s="87"/>
      <c r="I64" s="45"/>
      <c r="J64" s="87"/>
    </row>
    <row r="65" spans="1:10" x14ac:dyDescent="0.25">
      <c r="A65" s="96" t="s">
        <v>22</v>
      </c>
      <c r="B65" s="97"/>
      <c r="C65" s="59"/>
      <c r="D65" s="77"/>
      <c r="E65" s="67"/>
      <c r="F65" s="88"/>
      <c r="G65" s="67"/>
      <c r="H65" s="88"/>
      <c r="I65" s="67"/>
      <c r="J65" s="88"/>
    </row>
    <row r="66" spans="1:10" x14ac:dyDescent="0.25">
      <c r="A66" s="3"/>
      <c r="B66" s="4"/>
      <c r="C66" s="59"/>
      <c r="D66" s="77"/>
      <c r="E66" s="67"/>
      <c r="F66" s="88"/>
      <c r="G66" s="67"/>
      <c r="H66" s="88"/>
      <c r="I66" s="67"/>
      <c r="J66" s="88"/>
    </row>
    <row r="67" spans="1:10" ht="15.75" thickBot="1" x14ac:dyDescent="0.3">
      <c r="A67" s="3"/>
      <c r="B67" s="4"/>
      <c r="C67" s="59"/>
      <c r="D67" s="77"/>
      <c r="E67" s="67"/>
      <c r="F67" s="89"/>
      <c r="G67" s="67"/>
      <c r="H67" s="89"/>
      <c r="I67" s="67"/>
      <c r="J67" s="89"/>
    </row>
    <row r="68" spans="1:10" ht="19.5" thickBot="1" x14ac:dyDescent="0.35">
      <c r="A68" s="5"/>
      <c r="B68" s="6" t="s">
        <v>37</v>
      </c>
      <c r="C68" s="49">
        <f>C59+C46+C38+C34</f>
        <v>0</v>
      </c>
      <c r="E68" s="49">
        <f>E59+E46+E38+E34</f>
        <v>0</v>
      </c>
      <c r="F68" s="90"/>
      <c r="G68" s="49">
        <f>G59+G46+G38+G34</f>
        <v>0</v>
      </c>
      <c r="H68" s="90"/>
      <c r="I68" s="49">
        <f>I59+I46+I38+I34</f>
        <v>0</v>
      </c>
      <c r="J68" s="90"/>
    </row>
  </sheetData>
  <mergeCells count="11">
    <mergeCell ref="A59:B59"/>
    <mergeCell ref="A65:B65"/>
    <mergeCell ref="A1:B1"/>
    <mergeCell ref="A2:B2"/>
    <mergeCell ref="A34:B34"/>
    <mergeCell ref="A38:B38"/>
    <mergeCell ref="C1:D1"/>
    <mergeCell ref="E1:F1"/>
    <mergeCell ref="G1:H1"/>
    <mergeCell ref="I1:J1"/>
    <mergeCell ref="A46:B46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4"/>
  <sheetViews>
    <sheetView topLeftCell="A29" workbookViewId="0">
      <selection activeCell="G38" sqref="G38"/>
    </sheetView>
  </sheetViews>
  <sheetFormatPr defaultRowHeight="15" x14ac:dyDescent="0.25"/>
  <cols>
    <col min="1" max="1" width="31.85546875" customWidth="1"/>
    <col min="2" max="2" width="19.42578125" customWidth="1"/>
    <col min="3" max="3" width="16.5703125" customWidth="1"/>
    <col min="4" max="4" width="15.7109375" customWidth="1"/>
    <col min="5" max="5" width="14.5703125" customWidth="1"/>
    <col min="6" max="6" width="16.42578125" customWidth="1"/>
    <col min="7" max="7" width="21.7109375" customWidth="1"/>
    <col min="8" max="9" width="20.85546875" customWidth="1"/>
    <col min="10" max="10" width="16.42578125" customWidth="1"/>
    <col min="11" max="11" width="12" customWidth="1"/>
    <col min="12" max="12" width="13.5703125" customWidth="1"/>
  </cols>
  <sheetData>
    <row r="1" spans="1:7" x14ac:dyDescent="0.25">
      <c r="A1" s="19" t="s">
        <v>39</v>
      </c>
      <c r="B1" s="19"/>
    </row>
    <row r="3" spans="1:7" x14ac:dyDescent="0.25">
      <c r="B3" t="s">
        <v>48</v>
      </c>
      <c r="C3" t="s">
        <v>40</v>
      </c>
      <c r="D3" t="s">
        <v>43</v>
      </c>
      <c r="E3" t="s">
        <v>44</v>
      </c>
      <c r="F3" t="s">
        <v>45</v>
      </c>
    </row>
    <row r="4" spans="1:7" x14ac:dyDescent="0.25">
      <c r="A4" t="s">
        <v>41</v>
      </c>
      <c r="C4" t="s">
        <v>42</v>
      </c>
    </row>
    <row r="6" spans="1:7" x14ac:dyDescent="0.25">
      <c r="A6" t="s">
        <v>86</v>
      </c>
      <c r="B6" s="10"/>
      <c r="C6" s="8"/>
      <c r="D6" s="10"/>
      <c r="E6" s="10"/>
      <c r="F6" s="10"/>
      <c r="G6" s="29"/>
    </row>
    <row r="7" spans="1:7" x14ac:dyDescent="0.25">
      <c r="B7" s="8"/>
      <c r="C7" s="8"/>
      <c r="D7" s="8"/>
      <c r="E7" s="8"/>
      <c r="F7" s="8"/>
      <c r="G7" s="29"/>
    </row>
    <row r="8" spans="1:7" x14ac:dyDescent="0.25">
      <c r="A8" t="s">
        <v>46</v>
      </c>
      <c r="B8" s="8"/>
      <c r="C8" s="9"/>
      <c r="D8" s="9"/>
      <c r="E8" s="9"/>
      <c r="F8" s="9"/>
      <c r="G8" s="29"/>
    </row>
    <row r="9" spans="1:7" x14ac:dyDescent="0.25">
      <c r="A9" t="s">
        <v>73</v>
      </c>
      <c r="B9" s="10"/>
      <c r="C9" s="9"/>
      <c r="D9" s="9"/>
      <c r="E9" s="9"/>
      <c r="F9" s="9"/>
      <c r="G9" s="29"/>
    </row>
    <row r="10" spans="1:7" x14ac:dyDescent="0.25">
      <c r="A10" t="s">
        <v>55</v>
      </c>
      <c r="B10" s="8"/>
      <c r="C10" s="9"/>
      <c r="D10" s="9"/>
      <c r="E10" s="9"/>
      <c r="F10" s="9"/>
      <c r="G10" s="29"/>
    </row>
    <row r="11" spans="1:7" x14ac:dyDescent="0.25">
      <c r="A11" t="s">
        <v>85</v>
      </c>
      <c r="B11" s="10"/>
      <c r="C11" s="9"/>
      <c r="D11" s="10"/>
      <c r="E11" s="10"/>
      <c r="F11" s="10"/>
      <c r="G11" s="29"/>
    </row>
    <row r="12" spans="1:7" x14ac:dyDescent="0.25">
      <c r="A12" t="s">
        <v>47</v>
      </c>
      <c r="B12" s="8"/>
      <c r="C12" s="10"/>
      <c r="D12" s="10"/>
      <c r="E12" s="10"/>
      <c r="F12" s="10"/>
      <c r="G12" s="29"/>
    </row>
    <row r="13" spans="1:7" x14ac:dyDescent="0.25">
      <c r="B13" s="8"/>
      <c r="C13" s="8"/>
      <c r="D13" s="8"/>
      <c r="E13" s="8"/>
      <c r="F13" s="8"/>
      <c r="G13" s="29"/>
    </row>
    <row r="14" spans="1:7" x14ac:dyDescent="0.25">
      <c r="A14" t="s">
        <v>74</v>
      </c>
      <c r="B14" s="8"/>
      <c r="C14" s="8"/>
      <c r="D14" s="8"/>
      <c r="E14" s="8"/>
      <c r="F14" s="8"/>
      <c r="G14" s="11"/>
    </row>
    <row r="15" spans="1:7" x14ac:dyDescent="0.25">
      <c r="B15" s="8"/>
      <c r="C15" s="8"/>
      <c r="D15" s="8"/>
      <c r="E15" s="8"/>
      <c r="F15" s="8"/>
      <c r="G15" s="11"/>
    </row>
    <row r="16" spans="1:7" x14ac:dyDescent="0.25">
      <c r="A16" t="s">
        <v>87</v>
      </c>
      <c r="B16" s="8"/>
      <c r="C16" s="10"/>
      <c r="D16" s="10"/>
      <c r="E16" s="10"/>
      <c r="F16" s="10"/>
      <c r="G16" s="11"/>
    </row>
    <row r="17" spans="1:11" x14ac:dyDescent="0.25">
      <c r="B17" s="8"/>
      <c r="C17" s="8"/>
      <c r="D17" s="8"/>
      <c r="E17" s="8"/>
      <c r="F17" s="8"/>
      <c r="G17" s="11"/>
    </row>
    <row r="18" spans="1:11" x14ac:dyDescent="0.25">
      <c r="A18" t="s">
        <v>50</v>
      </c>
      <c r="B18" s="8"/>
      <c r="C18" s="8"/>
      <c r="D18" s="8"/>
      <c r="E18" s="8"/>
      <c r="F18" s="8"/>
      <c r="G18" s="11"/>
    </row>
    <row r="20" spans="1:11" ht="15.75" thickBot="1" x14ac:dyDescent="0.3"/>
    <row r="21" spans="1:11" ht="15.75" thickBot="1" x14ac:dyDescent="0.3">
      <c r="A21" s="21" t="s">
        <v>51</v>
      </c>
      <c r="B21" s="22">
        <f>SUM(B6:B20)</f>
        <v>0</v>
      </c>
      <c r="C21" s="23">
        <f>SUM(C6:C20)</f>
        <v>0</v>
      </c>
      <c r="D21" s="23">
        <f t="shared" ref="D21:F21" si="0">SUM(D6:D20)</f>
        <v>0</v>
      </c>
      <c r="E21" s="23">
        <f t="shared" si="0"/>
        <v>0</v>
      </c>
      <c r="F21" s="24">
        <f t="shared" si="0"/>
        <v>0</v>
      </c>
      <c r="G21" s="27"/>
    </row>
    <row r="22" spans="1:11" x14ac:dyDescent="0.25">
      <c r="A22" s="21"/>
      <c r="B22" s="27"/>
      <c r="C22" s="27"/>
      <c r="D22" s="27"/>
      <c r="E22" s="27"/>
      <c r="F22" s="27"/>
      <c r="G22" s="27"/>
    </row>
    <row r="24" spans="1:11" ht="5.2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6" spans="1:11" x14ac:dyDescent="0.25">
      <c r="A26" s="19" t="s">
        <v>52</v>
      </c>
      <c r="B26" s="19"/>
    </row>
    <row r="28" spans="1:11" x14ac:dyDescent="0.25">
      <c r="B28" t="s">
        <v>48</v>
      </c>
      <c r="C28" t="s">
        <v>40</v>
      </c>
      <c r="D28" t="s">
        <v>43</v>
      </c>
      <c r="E28" t="s">
        <v>44</v>
      </c>
      <c r="F28" t="s">
        <v>45</v>
      </c>
    </row>
    <row r="29" spans="1:11" x14ac:dyDescent="0.25">
      <c r="A29" t="s">
        <v>41</v>
      </c>
      <c r="C29" t="s">
        <v>42</v>
      </c>
    </row>
    <row r="31" spans="1:11" x14ac:dyDescent="0.25">
      <c r="A31" t="s">
        <v>53</v>
      </c>
      <c r="B31" s="45"/>
      <c r="C31" s="45"/>
      <c r="D31" s="45"/>
      <c r="E31" s="45"/>
      <c r="F31" s="45"/>
      <c r="G31" s="29"/>
    </row>
    <row r="32" spans="1:11" x14ac:dyDescent="0.25">
      <c r="A32" t="s">
        <v>88</v>
      </c>
      <c r="B32" s="45"/>
      <c r="C32" s="45"/>
      <c r="D32" s="45"/>
      <c r="E32" s="45"/>
      <c r="F32" s="45"/>
      <c r="G32" s="29"/>
    </row>
    <row r="33" spans="1:13" x14ac:dyDescent="0.25">
      <c r="A33" t="s">
        <v>54</v>
      </c>
      <c r="B33" s="45"/>
      <c r="C33" s="45"/>
      <c r="D33" s="45"/>
      <c r="E33" s="45"/>
      <c r="F33" s="45"/>
      <c r="G33" s="29"/>
    </row>
    <row r="34" spans="1:13" x14ac:dyDescent="0.25">
      <c r="A34" t="s">
        <v>83</v>
      </c>
      <c r="B34" s="45"/>
      <c r="C34" s="45"/>
      <c r="D34" s="45"/>
      <c r="E34" s="45"/>
      <c r="F34" s="45"/>
      <c r="G34" s="29"/>
    </row>
    <row r="35" spans="1:13" ht="15.75" thickBot="1" x14ac:dyDescent="0.3">
      <c r="A35" t="s">
        <v>84</v>
      </c>
      <c r="B35" s="45"/>
      <c r="C35" s="45"/>
      <c r="D35" s="45"/>
      <c r="E35" s="45"/>
      <c r="F35" s="45"/>
      <c r="G35" s="29"/>
    </row>
    <row r="36" spans="1:13" ht="15.75" thickBot="1" x14ac:dyDescent="0.3">
      <c r="A36" s="19" t="s">
        <v>49</v>
      </c>
      <c r="B36" s="45"/>
      <c r="C36" s="45"/>
      <c r="D36" s="45"/>
      <c r="E36" s="45"/>
      <c r="F36" s="46"/>
      <c r="G36" s="32" t="s">
        <v>42</v>
      </c>
      <c r="H36" s="34" t="s">
        <v>69</v>
      </c>
      <c r="I36" s="33" t="s">
        <v>70</v>
      </c>
      <c r="J36" s="33" t="s">
        <v>56</v>
      </c>
      <c r="K36" s="34" t="s">
        <v>64</v>
      </c>
      <c r="L36" s="35" t="s">
        <v>65</v>
      </c>
    </row>
    <row r="37" spans="1:13" x14ac:dyDescent="0.25">
      <c r="A37" s="20"/>
      <c r="B37" s="45"/>
      <c r="C37" s="45"/>
      <c r="D37" s="45"/>
      <c r="E37" s="45"/>
      <c r="F37" s="46"/>
      <c r="G37" s="31"/>
      <c r="H37" s="28"/>
      <c r="I37" s="28"/>
      <c r="J37" s="28"/>
      <c r="K37" s="30"/>
      <c r="L37" s="30"/>
    </row>
    <row r="38" spans="1:13" x14ac:dyDescent="0.25">
      <c r="A38" s="20" t="s">
        <v>57</v>
      </c>
      <c r="B38" s="45"/>
      <c r="C38" s="45"/>
      <c r="D38" s="45"/>
      <c r="E38" s="45"/>
      <c r="F38" s="46"/>
      <c r="G38" s="36">
        <v>500000</v>
      </c>
      <c r="H38" s="8" t="s">
        <v>67</v>
      </c>
      <c r="I38" s="37">
        <v>580000</v>
      </c>
      <c r="J38" s="25">
        <v>46387</v>
      </c>
      <c r="K38" s="37"/>
      <c r="L38" s="8"/>
      <c r="M38" t="s">
        <v>82</v>
      </c>
    </row>
    <row r="39" spans="1:13" x14ac:dyDescent="0.25">
      <c r="A39" s="20" t="s">
        <v>59</v>
      </c>
      <c r="B39" s="45"/>
      <c r="C39" s="45"/>
      <c r="D39" s="45"/>
      <c r="E39" s="45"/>
      <c r="F39" s="46"/>
      <c r="G39" s="9"/>
      <c r="H39" s="8"/>
      <c r="I39" s="8"/>
      <c r="J39" s="8"/>
      <c r="K39" s="8"/>
      <c r="L39" s="8"/>
      <c r="M39" t="s">
        <v>80</v>
      </c>
    </row>
    <row r="40" spans="1:13" x14ac:dyDescent="0.25">
      <c r="A40" s="20" t="s">
        <v>58</v>
      </c>
      <c r="B40" s="47"/>
      <c r="C40" s="47"/>
      <c r="D40" s="47"/>
      <c r="E40" s="47"/>
      <c r="F40" s="48"/>
      <c r="G40" s="37">
        <v>300000</v>
      </c>
      <c r="H40" s="8" t="s">
        <v>71</v>
      </c>
      <c r="I40" s="8" t="s">
        <v>72</v>
      </c>
      <c r="J40" s="25">
        <v>45291</v>
      </c>
      <c r="K40" s="37">
        <v>4500</v>
      </c>
      <c r="L40" s="8"/>
      <c r="M40" t="s">
        <v>81</v>
      </c>
    </row>
    <row r="41" spans="1:13" x14ac:dyDescent="0.25">
      <c r="A41" s="20" t="s">
        <v>63</v>
      </c>
      <c r="B41" s="47"/>
      <c r="C41" s="47"/>
      <c r="D41" s="47"/>
      <c r="E41" s="47"/>
      <c r="F41" s="48"/>
      <c r="G41" s="8"/>
      <c r="H41" s="8"/>
      <c r="I41" s="8"/>
      <c r="J41" s="8"/>
      <c r="K41" s="8"/>
      <c r="L41" s="8"/>
    </row>
    <row r="42" spans="1:13" x14ac:dyDescent="0.25">
      <c r="A42" s="20"/>
      <c r="B42" s="47"/>
      <c r="C42" s="47"/>
      <c r="D42" s="47"/>
      <c r="E42" s="47"/>
      <c r="F42" s="48"/>
      <c r="G42" s="37">
        <v>200000</v>
      </c>
      <c r="H42" s="8" t="s">
        <v>71</v>
      </c>
      <c r="I42" s="8" t="s">
        <v>72</v>
      </c>
      <c r="J42" s="25">
        <v>46387</v>
      </c>
      <c r="K42" s="8"/>
      <c r="L42" s="37">
        <v>30000</v>
      </c>
    </row>
    <row r="43" spans="1:13" x14ac:dyDescent="0.25">
      <c r="A43" s="20" t="s">
        <v>61</v>
      </c>
      <c r="B43" s="47"/>
      <c r="C43" s="47"/>
      <c r="D43" s="47"/>
      <c r="E43" s="47"/>
      <c r="F43" s="48"/>
      <c r="G43" s="8"/>
      <c r="H43" s="8"/>
      <c r="I43" s="8"/>
      <c r="J43" s="8"/>
      <c r="K43" s="8"/>
      <c r="L43" s="8"/>
    </row>
    <row r="44" spans="1:13" x14ac:dyDescent="0.25">
      <c r="A44" s="20" t="s">
        <v>62</v>
      </c>
      <c r="B44" s="47"/>
      <c r="C44" s="47"/>
      <c r="D44" s="47"/>
      <c r="E44" s="47"/>
      <c r="F44" s="48"/>
      <c r="G44" s="8"/>
      <c r="H44" s="8"/>
      <c r="I44" s="8"/>
      <c r="J44" s="8"/>
      <c r="K44" s="8"/>
      <c r="L44" s="8"/>
    </row>
    <row r="45" spans="1:13" x14ac:dyDescent="0.25">
      <c r="A45" s="20"/>
      <c r="B45" s="47"/>
      <c r="C45" s="47"/>
      <c r="D45" s="47"/>
      <c r="E45" s="47"/>
      <c r="F45" s="48"/>
      <c r="G45" s="8"/>
      <c r="H45" s="8"/>
      <c r="I45" s="8"/>
      <c r="J45" s="8"/>
      <c r="K45" s="8"/>
      <c r="L45" s="8"/>
    </row>
    <row r="46" spans="1:13" x14ac:dyDescent="0.25">
      <c r="A46" s="20" t="s">
        <v>68</v>
      </c>
      <c r="B46" s="47"/>
      <c r="C46" s="47"/>
      <c r="D46" s="47"/>
      <c r="E46" s="47"/>
      <c r="F46" s="48"/>
      <c r="G46" s="8"/>
      <c r="H46" s="8"/>
      <c r="I46" s="8"/>
      <c r="J46" s="8"/>
      <c r="K46" s="8"/>
      <c r="L46" s="8"/>
    </row>
    <row r="47" spans="1:13" x14ac:dyDescent="0.25">
      <c r="A47" s="20" t="s">
        <v>60</v>
      </c>
      <c r="B47" s="47"/>
      <c r="C47" s="47"/>
      <c r="D47" s="47"/>
      <c r="E47" s="47"/>
      <c r="F47" s="48"/>
      <c r="G47" s="8"/>
      <c r="H47" s="8"/>
      <c r="I47" s="8"/>
      <c r="J47" s="8"/>
      <c r="K47" s="8"/>
      <c r="L47" s="8"/>
    </row>
    <row r="48" spans="1:13" x14ac:dyDescent="0.25">
      <c r="B48" s="47"/>
      <c r="C48" s="47"/>
      <c r="D48" s="47"/>
      <c r="E48" s="47"/>
      <c r="F48" s="48"/>
      <c r="G48" s="8"/>
      <c r="H48" s="8"/>
      <c r="I48" s="8"/>
      <c r="J48" s="8"/>
      <c r="K48" s="8"/>
      <c r="L48" s="8"/>
    </row>
    <row r="49" spans="1:12" x14ac:dyDescent="0.25">
      <c r="A49" s="20" t="s">
        <v>66</v>
      </c>
      <c r="B49" s="47"/>
      <c r="C49" s="47"/>
      <c r="D49" s="47"/>
      <c r="E49" s="47"/>
      <c r="F49" s="48"/>
      <c r="G49" s="8"/>
      <c r="H49" s="8"/>
      <c r="I49" s="8"/>
      <c r="J49" s="8"/>
      <c r="K49" s="8"/>
      <c r="L49" s="8"/>
    </row>
    <row r="50" spans="1:12" x14ac:dyDescent="0.25">
      <c r="B50" s="47"/>
      <c r="C50" s="47"/>
      <c r="D50" s="47"/>
      <c r="E50" s="47"/>
      <c r="F50" s="48"/>
      <c r="G50" s="8"/>
      <c r="H50" s="8"/>
      <c r="I50" s="8"/>
      <c r="J50" s="8"/>
      <c r="K50" s="8"/>
      <c r="L50" s="8"/>
    </row>
    <row r="51" spans="1:12" x14ac:dyDescent="0.25">
      <c r="B51" s="47"/>
      <c r="C51" s="47"/>
      <c r="D51" s="47"/>
      <c r="E51" s="47"/>
      <c r="F51" s="48"/>
      <c r="G51" s="8"/>
      <c r="H51" s="8"/>
      <c r="I51" s="8"/>
      <c r="J51" s="8"/>
      <c r="K51" s="8"/>
      <c r="L51" s="8"/>
    </row>
    <row r="53" spans="1:12" ht="15.75" thickBot="1" x14ac:dyDescent="0.3"/>
    <row r="54" spans="1:12" ht="15.75" thickBot="1" x14ac:dyDescent="0.3">
      <c r="A54" s="21" t="s">
        <v>51</v>
      </c>
      <c r="B54" s="22">
        <f>SUM(B31:B53)</f>
        <v>0</v>
      </c>
      <c r="C54" s="23">
        <f>SUM(C31:C53)</f>
        <v>0</v>
      </c>
      <c r="D54" s="23">
        <f t="shared" ref="D54" si="1">SUM(D31:D53)</f>
        <v>0</v>
      </c>
      <c r="E54" s="23">
        <f t="shared" ref="E54" si="2">SUM(E31:E53)</f>
        <v>0</v>
      </c>
      <c r="F54" s="24">
        <f t="shared" ref="F54" si="3">SUM(F31:F53)</f>
        <v>0</v>
      </c>
      <c r="G54" s="39">
        <f>SUM(G37:G53)</f>
        <v>1000000</v>
      </c>
      <c r="K54" s="38">
        <f>SUM(K38:K53)</f>
        <v>4500</v>
      </c>
      <c r="L54" s="40">
        <f>SUM(L37:L53)</f>
        <v>30000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 GERAIS </vt:lpstr>
      <vt:lpstr>ATIVOS E PASSIVOS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BONY</dc:creator>
  <cp:lastModifiedBy>William Royal</cp:lastModifiedBy>
  <dcterms:created xsi:type="dcterms:W3CDTF">2025-05-01T12:01:30Z</dcterms:created>
  <dcterms:modified xsi:type="dcterms:W3CDTF">2026-03-02T21:04:46Z</dcterms:modified>
</cp:coreProperties>
</file>